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95"/>
  </bookViews>
  <sheets>
    <sheet name="Final ESG Sc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<sst xmlns="http://schemas.openxmlformats.org/spreadsheetml/2006/main" count="38" uniqueCount="38">
  <si>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Environmental</t>
  </si>
  <si>
    <t>Social</t>
  </si>
  <si>
    <t>Governance</t>
  </si>
  <si>
    <t>Industry Group</t>
  </si>
  <si>
    <t xml:space="preserve">Emission </t>
  </si>
  <si>
    <t xml:space="preserve">Innovation </t>
  </si>
  <si>
    <t>Resource Use</t>
  </si>
  <si>
    <t>Human Rights</t>
  </si>
  <si>
    <t xml:space="preserve">Product Responsibility </t>
  </si>
  <si>
    <t>Workforce</t>
  </si>
  <si>
    <t>Community</t>
  </si>
  <si>
    <t xml:space="preserve">Management </t>
  </si>
  <si>
    <t>Shareholders</t>
  </si>
  <si>
    <t xml:space="preserve">CSR Strategy </t>
  </si>
  <si>
    <t>ESG Scores</t>
  </si>
  <si>
    <t>Water &amp; Related Utilities</t>
  </si>
  <si>
    <t>ABC</t>
  </si>
  <si>
    <t>CBD</t>
  </si>
  <si>
    <t>DEF</t>
  </si>
  <si>
    <t>EFG</t>
  </si>
  <si>
    <t>EMJ</t>
  </si>
  <si>
    <t>EMQ</t>
  </si>
  <si>
    <t>ENR</t>
  </si>
  <si>
    <t>GPQ</t>
  </si>
  <si>
    <t>HIJ</t>
  </si>
  <si>
    <t>IBD</t>
  </si>
  <si>
    <t>JKL</t>
  </si>
  <si>
    <t>LMN</t>
  </si>
  <si>
    <t>MNO</t>
  </si>
  <si>
    <t>MSE</t>
  </si>
  <si>
    <t>OPQ</t>
  </si>
  <si>
    <t>PQR</t>
  </si>
  <si>
    <t>PSF</t>
  </si>
  <si>
    <t>RST</t>
  </si>
  <si>
    <t>UVW</t>
  </si>
  <si>
    <t>VPF</t>
  </si>
  <si>
    <t>XYZ</t>
  </si>
  <si>
    <t>YQM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</si>
</sst>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8"/>
      <color theme="1"/>
      <name val="Arial"/>
      <charset val="134"/>
    </font>
    <font>
      <b/>
      <sz val="8"/>
      <name val="Arial"/>
      <charset val="134"/>
    </font>
    <font>
      <sz val="8"/>
      <color theme="0"/>
      <name val="Arial"/>
      <charset val="134"/>
    </font>
    <font>
      <sz val="8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303E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2" fontId="4" fillId="3" borderId="1" xfId="0" applyNumberFormat="1" applyFont="1" applyFill="1" applyBorder="1"/>
    <xf numFmtId="0" fontId="4" fillId="0" borderId="1" xfId="0" applyFont="1" applyBorder="1"/>
    <xf numFmtId="2" fontId="4" fillId="0" borderId="1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showGridLines="0" tabSelected="1" workbookViewId="0">
      <selection activeCell="S10" sqref="S10"/>
    </sheetView>
  </sheetViews>
  <sheetFormatPr defaultColWidth="9" defaultRowHeight="14.4"/>
  <cols>
    <col min="1" max="1" width="11.7777777777778" customWidth="1"/>
    <col min="2" max="2" width="6.55555555555556" customWidth="1"/>
    <col min="3" max="3" width="6.88888888888889" customWidth="1"/>
    <col min="4" max="4" width="6.66666666666667" customWidth="1"/>
    <col min="5" max="5" width="5.11111111111111" customWidth="1"/>
    <col min="6" max="6" width="8.77777777777778" customWidth="1"/>
    <col min="7" max="7" width="7.11111111111111" customWidth="1"/>
    <col min="8" max="8" width="7.88888888888889" customWidth="1"/>
    <col min="9" max="11" width="9.5462962962963" customWidth="1"/>
  </cols>
  <sheetData>
    <row r="1" customHeight="1" spans="1:12">
      <c r="A1" s="1"/>
      <c r="B1" s="2" t="s">
        <v>0</v>
      </c>
      <c r="C1" s="2"/>
      <c r="D1" s="2"/>
      <c r="E1" s="2" t="s">
        <v>1</v>
      </c>
      <c r="F1" s="2"/>
      <c r="G1" s="2"/>
      <c r="H1" s="2"/>
      <c r="I1" s="2" t="s">
        <v>2</v>
      </c>
      <c r="J1" s="2"/>
      <c r="K1" s="2"/>
      <c r="L1" s="6"/>
    </row>
    <row r="2" ht="30.6" spans="1:12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</row>
    <row r="3" ht="20.4" spans="1:12">
      <c r="A3" s="4" t="s">
        <v>15</v>
      </c>
      <c r="B3" s="5">
        <v>0.153627311522048</v>
      </c>
      <c r="C3" s="5">
        <v>0.128022759601707</v>
      </c>
      <c r="D3" s="5">
        <v>0.153627311522048</v>
      </c>
      <c r="E3" s="5">
        <v>0.0512091038406828</v>
      </c>
      <c r="F3" s="5">
        <v>0.0398293029871977</v>
      </c>
      <c r="G3" s="5">
        <v>0.132290184921764</v>
      </c>
      <c r="H3" s="5">
        <v>0.085348506401138</v>
      </c>
      <c r="I3" s="5">
        <v>0.170697012802276</v>
      </c>
      <c r="J3" s="5">
        <v>0.0512091038406828</v>
      </c>
      <c r="K3" s="5">
        <v>0.0341394025604552</v>
      </c>
      <c r="L3" s="5"/>
    </row>
    <row r="4" spans="1:12">
      <c r="A4" s="6" t="s">
        <v>16</v>
      </c>
      <c r="B4" s="7">
        <v>0.657894736842105</v>
      </c>
      <c r="C4" s="7">
        <v>0</v>
      </c>
      <c r="D4" s="7">
        <v>0.441176470588235</v>
      </c>
      <c r="E4" s="7">
        <v>0.05</v>
      </c>
      <c r="F4" s="7">
        <v>0.583333333333333</v>
      </c>
      <c r="G4" s="7">
        <v>0.886363636363636</v>
      </c>
      <c r="H4" s="7">
        <v>0.340909090909091</v>
      </c>
      <c r="I4" s="7">
        <v>0.985294117647059</v>
      </c>
      <c r="J4" s="7">
        <v>0.838235294117647</v>
      </c>
      <c r="K4" s="7">
        <v>0.557692307692308</v>
      </c>
      <c r="L4" s="6">
        <f>B4*$B$3+C4*$C$3+D4*$D$3+E4*$E$3+F4*$F$3+G4*$G$3+H4*$H$3+I4*$I$3+J4*$J$3+K4*$K$3</f>
        <v>0.571146184157427</v>
      </c>
    </row>
    <row r="5" spans="1:12">
      <c r="A5" s="6" t="s">
        <v>17</v>
      </c>
      <c r="B5" s="7">
        <v>0.710526315789474</v>
      </c>
      <c r="C5" s="7">
        <v>0.961538461538462</v>
      </c>
      <c r="D5" s="7">
        <v>0.382352941176471</v>
      </c>
      <c r="E5" s="7">
        <v>0</v>
      </c>
      <c r="F5" s="7">
        <v>0.694444444444444</v>
      </c>
      <c r="G5" s="7">
        <v>0.659090909090909</v>
      </c>
      <c r="H5" s="7">
        <v>0.704545454545455</v>
      </c>
      <c r="I5" s="7">
        <v>0.367021276595745</v>
      </c>
      <c r="J5" s="7">
        <v>0.00531914893617021</v>
      </c>
      <c r="K5" s="7">
        <v>0.556962025316456</v>
      </c>
      <c r="L5" s="6">
        <f t="shared" ref="L5:L25" si="0">B5*$B$3+C5*$C$3+D5*$D$3+E5*$E$3+F5*$F$3+G5*$G$3+H5*$H$3+I5*$I$3+J5*$J$3+K5*$K$3</f>
        <v>0.547913483234988</v>
      </c>
    </row>
    <row r="6" spans="1:12">
      <c r="A6" s="6" t="s">
        <v>18</v>
      </c>
      <c r="B6" s="7">
        <v>0.0263157894736842</v>
      </c>
      <c r="C6" s="7">
        <v>0</v>
      </c>
      <c r="D6" s="7">
        <v>0</v>
      </c>
      <c r="E6" s="7">
        <v>0</v>
      </c>
      <c r="F6" s="7">
        <v>0</v>
      </c>
      <c r="G6" s="7">
        <v>0.568181818181818</v>
      </c>
      <c r="H6" s="7">
        <v>0.113636363636364</v>
      </c>
      <c r="I6" s="7">
        <v>0.210247349823322</v>
      </c>
      <c r="J6" s="7">
        <v>0.143109540636042</v>
      </c>
      <c r="K6" s="7">
        <v>0.539351851851852</v>
      </c>
      <c r="L6" s="6">
        <f t="shared" si="0"/>
        <v>0.150536651576656</v>
      </c>
    </row>
    <row r="7" spans="1:12">
      <c r="A7" s="6" t="s">
        <v>19</v>
      </c>
      <c r="B7" s="7">
        <v>0</v>
      </c>
      <c r="C7" s="7">
        <v>0.307692307692308</v>
      </c>
      <c r="D7" s="7">
        <v>0.0294117647058824</v>
      </c>
      <c r="E7" s="7">
        <v>0</v>
      </c>
      <c r="F7" s="7">
        <v>0</v>
      </c>
      <c r="G7" s="7">
        <v>0.25</v>
      </c>
      <c r="H7" s="7">
        <v>0.590909090909091</v>
      </c>
      <c r="I7" s="7">
        <v>0.890977443609023</v>
      </c>
      <c r="J7" s="7">
        <v>0.943609022556391</v>
      </c>
      <c r="K7" s="7">
        <v>0</v>
      </c>
      <c r="L7" s="6">
        <f t="shared" si="0"/>
        <v>0.327824383755621</v>
      </c>
    </row>
    <row r="8" spans="1:12">
      <c r="A8" s="6" t="s">
        <v>20</v>
      </c>
      <c r="B8" s="7">
        <v>0.868421052631579</v>
      </c>
      <c r="C8" s="7">
        <v>0.307692307692308</v>
      </c>
      <c r="D8" s="7">
        <v>0.676470588235294</v>
      </c>
      <c r="E8" s="7">
        <v>0.2</v>
      </c>
      <c r="F8" s="7">
        <v>0.861111111111111</v>
      </c>
      <c r="G8" s="7">
        <v>0.840909090909091</v>
      </c>
      <c r="H8" s="7">
        <v>0.977272727272727</v>
      </c>
      <c r="I8" s="7">
        <v>0.326923076923077</v>
      </c>
      <c r="J8" s="7">
        <v>0.865384615384615</v>
      </c>
      <c r="K8" s="7">
        <v>0.684210526315789</v>
      </c>
      <c r="L8" s="6">
        <f t="shared" si="0"/>
        <v>0.639400132466778</v>
      </c>
    </row>
    <row r="9" spans="1:12">
      <c r="A9" s="6" t="s">
        <v>21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0.295454545454545</v>
      </c>
      <c r="H9" s="7">
        <v>0.0227272727272727</v>
      </c>
      <c r="I9" s="7">
        <v>0.875</v>
      </c>
      <c r="J9" s="7">
        <v>0.0808823529411765</v>
      </c>
      <c r="K9" s="7">
        <v>0.00746268656716418</v>
      </c>
      <c r="L9" s="6">
        <f t="shared" si="0"/>
        <v>0.194782045909535</v>
      </c>
    </row>
    <row r="10" spans="1:12">
      <c r="A10" s="6" t="s">
        <v>22</v>
      </c>
      <c r="B10" s="7">
        <v>0.921052631578947</v>
      </c>
      <c r="C10" s="7">
        <v>0.807692307692308</v>
      </c>
      <c r="D10" s="7">
        <v>0.852941176470588</v>
      </c>
      <c r="E10" s="7">
        <v>0.75</v>
      </c>
      <c r="F10" s="7">
        <v>0.972222222222222</v>
      </c>
      <c r="G10" s="7">
        <v>0.931818181818182</v>
      </c>
      <c r="H10" s="7">
        <v>0.659090909090909</v>
      </c>
      <c r="I10" s="7">
        <v>0.403846153846154</v>
      </c>
      <c r="J10" s="7">
        <v>0.493589743589744</v>
      </c>
      <c r="K10" s="7">
        <v>0.864640883977901</v>
      </c>
      <c r="L10" s="6">
        <f t="shared" si="0"/>
        <v>0.756319426862965</v>
      </c>
    </row>
    <row r="11" spans="1:12">
      <c r="A11" s="6" t="s">
        <v>23</v>
      </c>
      <c r="B11" s="7">
        <v>0.236842105263158</v>
      </c>
      <c r="C11" s="7">
        <v>0.307692307692308</v>
      </c>
      <c r="D11" s="7">
        <v>0</v>
      </c>
      <c r="E11" s="7">
        <v>0</v>
      </c>
      <c r="F11" s="7">
        <v>0.166666666666667</v>
      </c>
      <c r="G11" s="7">
        <v>0.0227272727272727</v>
      </c>
      <c r="H11" s="7">
        <v>0.159090909090909</v>
      </c>
      <c r="I11" s="7">
        <v>0.560794542536116</v>
      </c>
      <c r="J11" s="7">
        <v>0.560794542536116</v>
      </c>
      <c r="K11" s="7">
        <v>0</v>
      </c>
      <c r="L11" s="6">
        <f t="shared" si="0"/>
        <v>0.223443757143841</v>
      </c>
    </row>
    <row r="12" spans="1:12">
      <c r="A12" s="6" t="s">
        <v>24</v>
      </c>
      <c r="B12" s="7">
        <v>0.605263157894737</v>
      </c>
      <c r="C12" s="7">
        <v>0.307692307692308</v>
      </c>
      <c r="D12" s="7">
        <v>0.5</v>
      </c>
      <c r="E12" s="7">
        <v>0.65</v>
      </c>
      <c r="F12" s="7">
        <v>0.416666666666667</v>
      </c>
      <c r="G12" s="7">
        <v>0.795454545454545</v>
      </c>
      <c r="H12" s="7">
        <v>0.795454545454545</v>
      </c>
      <c r="I12" s="7">
        <v>0.484042553191489</v>
      </c>
      <c r="J12" s="7">
        <v>0.271276595744681</v>
      </c>
      <c r="K12" s="7">
        <v>0.373417721518987</v>
      </c>
      <c r="L12" s="6">
        <f t="shared" si="0"/>
        <v>0.541458079676236</v>
      </c>
    </row>
    <row r="13" spans="1:12">
      <c r="A13" s="6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0.0681818181818182</v>
      </c>
      <c r="H13" s="7">
        <v>0.295454545454545</v>
      </c>
      <c r="I13" s="7">
        <v>0.505016051364366</v>
      </c>
      <c r="J13" s="7">
        <v>0.487359550561798</v>
      </c>
      <c r="K13" s="7">
        <v>0</v>
      </c>
      <c r="L13" s="6">
        <f t="shared" si="0"/>
        <v>0.145398366717113</v>
      </c>
    </row>
    <row r="14" spans="1:12">
      <c r="A14" s="6" t="s">
        <v>26</v>
      </c>
      <c r="B14" s="7">
        <v>0.5</v>
      </c>
      <c r="C14" s="7">
        <v>0.730769230769231</v>
      </c>
      <c r="D14" s="7">
        <v>0.735294117647059</v>
      </c>
      <c r="E14" s="7">
        <v>0</v>
      </c>
      <c r="F14" s="7">
        <v>0.777777777777778</v>
      </c>
      <c r="G14" s="7">
        <v>0.431818181818182</v>
      </c>
      <c r="H14" s="7">
        <v>0.931818181818182</v>
      </c>
      <c r="I14" s="7">
        <v>0.621789727126806</v>
      </c>
      <c r="J14" s="7">
        <v>0.889446227929374</v>
      </c>
      <c r="K14" s="7">
        <v>0.259420289855072</v>
      </c>
      <c r="L14" s="6">
        <f t="shared" si="0"/>
        <v>0.611504798703085</v>
      </c>
    </row>
    <row r="15" spans="1:12">
      <c r="A15" s="6" t="s">
        <v>27</v>
      </c>
      <c r="B15" s="7">
        <v>0.763157894736842</v>
      </c>
      <c r="C15" s="7">
        <v>0.307692307692308</v>
      </c>
      <c r="D15" s="7">
        <v>0.558823529411765</v>
      </c>
      <c r="E15" s="7">
        <v>0</v>
      </c>
      <c r="F15" s="7">
        <v>0.472222222222222</v>
      </c>
      <c r="G15" s="7">
        <v>0.477272727272727</v>
      </c>
      <c r="H15" s="7">
        <v>0.477272727272727</v>
      </c>
      <c r="I15" s="7">
        <v>0.170345104333868</v>
      </c>
      <c r="J15" s="7">
        <v>0.235353130016051</v>
      </c>
      <c r="K15" s="7">
        <v>0.259420289855072</v>
      </c>
      <c r="L15" s="6">
        <f t="shared" si="0"/>
        <v>0.415151441184169</v>
      </c>
    </row>
    <row r="16" spans="1:12">
      <c r="A16" s="6" t="s">
        <v>28</v>
      </c>
      <c r="B16" s="7">
        <v>0.815789473684211</v>
      </c>
      <c r="C16" s="7">
        <v>0.307692307692308</v>
      </c>
      <c r="D16" s="7">
        <v>0.911764705882353</v>
      </c>
      <c r="E16" s="7">
        <v>0.4</v>
      </c>
      <c r="F16" s="7">
        <v>0.583333333333333</v>
      </c>
      <c r="G16" s="7">
        <v>0.613636363636364</v>
      </c>
      <c r="H16" s="7">
        <v>0.0681818181818182</v>
      </c>
      <c r="I16" s="7">
        <v>0.328703703703704</v>
      </c>
      <c r="J16" s="7">
        <v>0.523148148148148</v>
      </c>
      <c r="K16" s="7">
        <v>0.629310344827586</v>
      </c>
      <c r="L16" s="6">
        <f t="shared" si="0"/>
        <v>0.539888775791694</v>
      </c>
    </row>
    <row r="17" spans="1:12">
      <c r="A17" s="6" t="s">
        <v>29</v>
      </c>
      <c r="B17" s="7">
        <v>0.552631578947368</v>
      </c>
      <c r="C17" s="7">
        <v>0</v>
      </c>
      <c r="D17" s="7">
        <v>0.617647058823529</v>
      </c>
      <c r="E17" s="7">
        <v>0.85</v>
      </c>
      <c r="F17" s="7">
        <v>0.166666666666667</v>
      </c>
      <c r="G17" s="7">
        <v>0.75</v>
      </c>
      <c r="H17" s="7">
        <v>0.840909090909091</v>
      </c>
      <c r="I17" s="7">
        <v>0.773076923076923</v>
      </c>
      <c r="J17" s="7">
        <v>0.35</v>
      </c>
      <c r="K17" s="7">
        <v>0.907458563535912</v>
      </c>
      <c r="L17" s="6">
        <f t="shared" si="0"/>
        <v>0.581805890888424</v>
      </c>
    </row>
    <row r="18" spans="1:12">
      <c r="A18" s="6" t="s">
        <v>30</v>
      </c>
      <c r="B18" s="7">
        <v>0.289473684210526</v>
      </c>
      <c r="C18" s="7">
        <v>0</v>
      </c>
      <c r="D18" s="7">
        <v>0.323529411764706</v>
      </c>
      <c r="E18" s="7">
        <v>0</v>
      </c>
      <c r="F18" s="7">
        <v>0.166666666666667</v>
      </c>
      <c r="G18" s="7">
        <v>0.159090909090909</v>
      </c>
      <c r="H18" s="7">
        <v>0.477272727272727</v>
      </c>
      <c r="I18" s="7">
        <v>0.1526886035313</v>
      </c>
      <c r="J18" s="7">
        <v>0.422351524879615</v>
      </c>
      <c r="K18" s="7">
        <v>0.0768115942028986</v>
      </c>
      <c r="L18" s="6">
        <f t="shared" si="0"/>
        <v>0.212906948498011</v>
      </c>
    </row>
    <row r="19" spans="1:12">
      <c r="A19" s="6" t="s">
        <v>31</v>
      </c>
      <c r="B19" s="7">
        <v>0.447368421052632</v>
      </c>
      <c r="C19" s="7">
        <v>0.653846153846154</v>
      </c>
      <c r="D19" s="7">
        <v>0.794117647058823</v>
      </c>
      <c r="E19" s="7">
        <v>0.55</v>
      </c>
      <c r="F19" s="7">
        <v>0.777777777777778</v>
      </c>
      <c r="G19" s="7">
        <v>0.522727272727273</v>
      </c>
      <c r="H19" s="7">
        <v>0.75</v>
      </c>
      <c r="I19" s="7">
        <v>0.759430176565008</v>
      </c>
      <c r="J19" s="7">
        <v>0.755016051364366</v>
      </c>
      <c r="K19" s="7">
        <v>0.156521739130435</v>
      </c>
      <c r="L19" s="6">
        <f t="shared" si="0"/>
        <v>0.640379493769067</v>
      </c>
    </row>
    <row r="20" spans="1:12">
      <c r="A20" s="6" t="s">
        <v>32</v>
      </c>
      <c r="B20" s="7">
        <v>0.973684210526316</v>
      </c>
      <c r="C20" s="7">
        <v>0.884615384615385</v>
      </c>
      <c r="D20" s="7">
        <v>0.970588235294118</v>
      </c>
      <c r="E20" s="7">
        <v>0.95</v>
      </c>
      <c r="F20" s="7">
        <v>0.916666666666667</v>
      </c>
      <c r="G20" s="7">
        <v>0.977272727272727</v>
      </c>
      <c r="H20" s="7">
        <v>0.886363636363636</v>
      </c>
      <c r="I20" s="7">
        <v>0.14622641509434</v>
      </c>
      <c r="J20" s="7">
        <v>0.731132075471698</v>
      </c>
      <c r="K20" s="7">
        <v>0.342857142857143</v>
      </c>
      <c r="L20" s="6">
        <f t="shared" si="0"/>
        <v>0.776142465441982</v>
      </c>
    </row>
    <row r="21" spans="1:12">
      <c r="A21" s="6" t="s">
        <v>33</v>
      </c>
      <c r="B21" s="7">
        <v>0.0789473684210526</v>
      </c>
      <c r="C21" s="7">
        <v>0.307692307692308</v>
      </c>
      <c r="D21" s="7">
        <v>0</v>
      </c>
      <c r="E21" s="7">
        <v>0</v>
      </c>
      <c r="F21" s="7">
        <v>0.166666666666667</v>
      </c>
      <c r="G21" s="7">
        <v>0.204545454545455</v>
      </c>
      <c r="H21" s="7">
        <v>0.590909090909091</v>
      </c>
      <c r="I21" s="7">
        <v>0.416666666666667</v>
      </c>
      <c r="J21" s="7">
        <v>0.416666666666667</v>
      </c>
      <c r="K21" s="7">
        <v>0</v>
      </c>
      <c r="L21" s="6">
        <f t="shared" si="0"/>
        <v>0.228111753735023</v>
      </c>
    </row>
    <row r="22" spans="1:12">
      <c r="A22" s="6" t="s">
        <v>34</v>
      </c>
      <c r="B22" s="7">
        <v>0.342105263157895</v>
      </c>
      <c r="C22" s="7">
        <v>0</v>
      </c>
      <c r="D22" s="7">
        <v>0.264705882352941</v>
      </c>
      <c r="E22" s="7">
        <v>0.2</v>
      </c>
      <c r="F22" s="7">
        <v>0.583333333333333</v>
      </c>
      <c r="G22" s="7">
        <v>0.704545454545455</v>
      </c>
      <c r="H22" s="7">
        <v>0.386363636363636</v>
      </c>
      <c r="I22" s="7">
        <v>0.26063829787234</v>
      </c>
      <c r="J22" s="7">
        <v>0.164893617021277</v>
      </c>
      <c r="K22" s="7">
        <v>0.310126582278481</v>
      </c>
      <c r="L22" s="6">
        <f t="shared" si="0"/>
        <v>0.316400122951891</v>
      </c>
    </row>
    <row r="23" spans="1:12">
      <c r="A23" s="6" t="s">
        <v>35</v>
      </c>
      <c r="B23" s="7">
        <v>0.157894736842105</v>
      </c>
      <c r="C23" s="7">
        <v>0.307692307692308</v>
      </c>
      <c r="D23" s="7">
        <v>0.147058823529412</v>
      </c>
      <c r="E23" s="7">
        <v>0</v>
      </c>
      <c r="F23" s="7">
        <v>0.166666666666667</v>
      </c>
      <c r="G23" s="7">
        <v>0.113636363636364</v>
      </c>
      <c r="H23" s="7">
        <v>0.25</v>
      </c>
      <c r="I23" s="7">
        <v>0.881420545746388</v>
      </c>
      <c r="J23" s="7">
        <v>0.900682182985554</v>
      </c>
      <c r="K23" s="7">
        <v>0</v>
      </c>
      <c r="L23" s="6">
        <f t="shared" si="0"/>
        <v>0.325828114899469</v>
      </c>
    </row>
    <row r="24" spans="1:12">
      <c r="A24" s="6" t="s">
        <v>36</v>
      </c>
      <c r="B24" s="7">
        <v>0.394736842105263</v>
      </c>
      <c r="C24" s="7">
        <v>0</v>
      </c>
      <c r="D24" s="7">
        <v>0.205882352941176</v>
      </c>
      <c r="E24" s="7">
        <v>0.4</v>
      </c>
      <c r="F24" s="7">
        <v>0.166666666666667</v>
      </c>
      <c r="G24" s="7">
        <v>0.386363636363636</v>
      </c>
      <c r="H24" s="7">
        <v>0.477272727272727</v>
      </c>
      <c r="I24" s="7">
        <v>0.954052969502408</v>
      </c>
      <c r="J24" s="7">
        <v>0.734149277688603</v>
      </c>
      <c r="K24" s="7">
        <v>0.510144927536232</v>
      </c>
      <c r="L24" s="6">
        <f t="shared" si="0"/>
        <v>0.429105163794896</v>
      </c>
    </row>
    <row r="25" spans="1:12">
      <c r="A25" s="6" t="s">
        <v>37</v>
      </c>
      <c r="B25" s="7">
        <v>0.157894736842105</v>
      </c>
      <c r="C25" s="7">
        <v>0</v>
      </c>
      <c r="D25" s="7">
        <v>0.0882352941176471</v>
      </c>
      <c r="E25" s="7">
        <v>0</v>
      </c>
      <c r="F25" s="7">
        <v>0.361111111111111</v>
      </c>
      <c r="G25" s="7">
        <v>0.340909090909091</v>
      </c>
      <c r="H25" s="7">
        <v>0.204545454545455</v>
      </c>
      <c r="I25" s="7">
        <v>0.691176470588235</v>
      </c>
      <c r="J25" s="7">
        <v>0.338235294117647</v>
      </c>
      <c r="K25" s="7">
        <v>0</v>
      </c>
      <c r="L25" s="6">
        <f t="shared" si="0"/>
        <v>0.25005415965983</v>
      </c>
    </row>
  </sheetData>
  <mergeCells count="3">
    <mergeCell ref="B1:D1"/>
    <mergeCell ref="E1:H1"/>
    <mergeCell ref="I1:K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ESG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Tarannum, Sadiya (Refinitiv)</dc:creator>
  <cp:lastModifiedBy>pgunes</cp:lastModifiedBy>
  <dcterms:created xsi:type="dcterms:W3CDTF">2020-03-13T05:33:00Z</dcterms:created>
  <dcterms:modified xsi:type="dcterms:W3CDTF">2025-03-04T19:30:19Z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4fa30c-d330-47af-b38e-4594b6de31c6_Enabled">
    <vt:lpwstr>True</vt:lpwstr>
  </property>
  <property fmtid="{D5CDD505-2E9C-101B-9397-08002B2CF9AE}" pid="3" name="MSIP_Label_834fa30c-d330-47af-b38e-4594b6de31c6_SiteId">
    <vt:lpwstr>71ad2f62-61e2-44fc-9e85-86c2827f6de9</vt:lpwstr>
  </property>
  <property fmtid="{D5CDD505-2E9C-101B-9397-08002B2CF9AE}" pid="4" name="MSIP_Label_834fa30c-d330-47af-b38e-4594b6de31c6_Owner">
    <vt:lpwstr>amrutha.rajaram@refinitiv.com</vt:lpwstr>
  </property>
  <property fmtid="{D5CDD505-2E9C-101B-9397-08002B2CF9AE}" pid="5" name="MSIP_Label_834fa30c-d330-47af-b38e-4594b6de31c6_SetDate">
    <vt:lpwstr>2020-04-23T11:23:48.6966467Z</vt:lpwstr>
  </property>
  <property fmtid="{D5CDD505-2E9C-101B-9397-08002B2CF9AE}" pid="6" name="MSIP_Label_834fa30c-d330-47af-b38e-4594b6de31c6_Name">
    <vt:lpwstr>Confidential</vt:lpwstr>
  </property>
  <property fmtid="{D5CDD505-2E9C-101B-9397-08002B2CF9AE}" pid="7" name="MSIP_Label_834fa30c-d330-47af-b38e-4594b6de31c6_Application">
    <vt:lpwstr>Microsoft Azure Information Protection</vt:lpwstr>
  </property>
  <property fmtid="{D5CDD505-2E9C-101B-9397-08002B2CF9AE}" pid="8" name="MSIP_Label_834fa30c-d330-47af-b38e-4594b6de31c6_Extended_MSFT_Method">
    <vt:lpwstr>Automatic</vt:lpwstr>
  </property>
  <property fmtid="{D5CDD505-2E9C-101B-9397-08002B2CF9AE}" pid="9" name="MSIP_Label_160cf5d0-3195-495b-8e47-6fd80127629b_Enabled">
    <vt:lpwstr>True</vt:lpwstr>
  </property>
  <property fmtid="{D5CDD505-2E9C-101B-9397-08002B2CF9AE}" pid="10" name="MSIP_Label_160cf5d0-3195-495b-8e47-6fd80127629b_SiteId">
    <vt:lpwstr>62ccb864-6a1a-4b5d-8e1c-397dec1a8258</vt:lpwstr>
  </property>
  <property fmtid="{D5CDD505-2E9C-101B-9397-08002B2CF9AE}" pid="11" name="MSIP_Label_160cf5d0-3195-495b-8e47-6fd80127629b_Owner">
    <vt:lpwstr>amrutha.rajaram@thomsonreuters.com</vt:lpwstr>
  </property>
  <property fmtid="{D5CDD505-2E9C-101B-9397-08002B2CF9AE}" pid="12" name="MSIP_Label_160cf5d0-3195-495b-8e47-6fd80127629b_SetDate">
    <vt:lpwstr>2020-03-13T11:29:47.6031700Z</vt:lpwstr>
  </property>
  <property fmtid="{D5CDD505-2E9C-101B-9397-08002B2CF9AE}" pid="13" name="MSIP_Label_160cf5d0-3195-495b-8e47-6fd80127629b_Name">
    <vt:lpwstr>Confidential</vt:lpwstr>
  </property>
  <property fmtid="{D5CDD505-2E9C-101B-9397-08002B2CF9AE}" pid="14" name="MSIP_Label_160cf5d0-3195-495b-8e47-6fd80127629b_Application">
    <vt:lpwstr>Microsoft Azure Information Protection</vt:lpwstr>
  </property>
  <property fmtid="{D5CDD505-2E9C-101B-9397-08002B2CF9AE}" pid="15" name="MSIP_Label_160cf5d0-3195-495b-8e47-6fd80127629b_Extended_MSFT_Method">
    <vt:lpwstr>Automatic</vt:lpwstr>
  </property>
  <property fmtid="{D5CDD505-2E9C-101B-9397-08002B2CF9AE}" pid="16" name="Sensitivity">
    <vt:lpwstr>Confidential Confidential</vt:lpwstr>
  </property>
  <property fmtid="{D5CDD505-2E9C-101B-9397-08002B2CF9AE}" pid="17" name="ICV">
    <vt:lpwstr>D7253032E4E3475C90AF8A55D49D2997_12</vt:lpwstr>
  </property>
  <property fmtid="{D5CDD505-2E9C-101B-9397-08002B2CF9AE}" pid="18" name="KSOProductBuildVer">
    <vt:lpwstr>1033-12.2.0.20323</vt:lpwstr>
  </property>
</Properties>
</file>